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oda\Downloads\"/>
    </mc:Choice>
  </mc:AlternateContent>
  <xr:revisionPtr revIDLastSave="0" documentId="8_{E6D8DAFB-714F-4B88-BFFC-1B9571A4A325}" xr6:coauthVersionLast="47" xr6:coauthVersionMax="47" xr10:uidLastSave="{00000000-0000-0000-0000-000000000000}"/>
  <bookViews>
    <workbookView xWindow="-108" yWindow="-108" windowWidth="23256" windowHeight="12456" activeTab="2" xr2:uid="{2D91DA8B-5D49-4CAE-BA4C-9CF54AD15CB2}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Sheet3!$A$1:$G$14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N3" i="2"/>
  <c r="N2" i="2"/>
  <c r="E2" i="2"/>
  <c r="A2" i="1"/>
  <c r="A3" i="1" s="1"/>
  <c r="A4" i="1" s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<sst xmlns="http://schemas.openxmlformats.org/spreadsheetml/2006/main" count="122" uniqueCount="83">
  <si>
    <t>Monday</t>
  </si>
  <si>
    <t>Tuesday</t>
  </si>
  <si>
    <t>Wednesday</t>
  </si>
  <si>
    <t>Thursday</t>
  </si>
  <si>
    <t>Friday</t>
  </si>
  <si>
    <t>Saturday</t>
  </si>
  <si>
    <t>Sunday</t>
  </si>
  <si>
    <t>20/10/2024</t>
  </si>
  <si>
    <t>20/10/2025</t>
  </si>
  <si>
    <t>20/10/2026</t>
  </si>
  <si>
    <t>20/10/2027</t>
  </si>
  <si>
    <t>20/10/2028</t>
  </si>
  <si>
    <t>20/10/2029</t>
  </si>
  <si>
    <t>20/10/2030</t>
  </si>
  <si>
    <t>10/09/2024</t>
  </si>
  <si>
    <t>10/09/2025</t>
  </si>
  <si>
    <t>10/09/2026</t>
  </si>
  <si>
    <t>10/09/2027</t>
  </si>
  <si>
    <t>10/09/2028</t>
  </si>
  <si>
    <t>10/09/2029</t>
  </si>
  <si>
    <t>10/09/2030</t>
  </si>
  <si>
    <t>2/10/2024</t>
  </si>
  <si>
    <t>2/10/2025</t>
  </si>
  <si>
    <t>2/10/2026</t>
  </si>
  <si>
    <t>2/10/2027</t>
  </si>
  <si>
    <t>2/10/2028</t>
  </si>
  <si>
    <t>2/10/2029</t>
  </si>
  <si>
    <t>2/10/2030</t>
  </si>
  <si>
    <t>3/10/2024</t>
  </si>
  <si>
    <t>himani</t>
  </si>
  <si>
    <t>12/10/2024</t>
  </si>
  <si>
    <t>12/10/2025</t>
  </si>
  <si>
    <t>12/10/2026</t>
  </si>
  <si>
    <t>12/10/2027</t>
  </si>
  <si>
    <t>12/10/2028</t>
  </si>
  <si>
    <t>12/10/2029</t>
  </si>
  <si>
    <t>10/1/2012</t>
  </si>
  <si>
    <t>3/1/2013</t>
  </si>
  <si>
    <t>11/22/2012</t>
  </si>
  <si>
    <t>12/4/2012</t>
  </si>
  <si>
    <t>1/21/2013</t>
  </si>
  <si>
    <t>start date of project</t>
  </si>
  <si>
    <t>end date of project</t>
  </si>
  <si>
    <t>holiday</t>
  </si>
  <si>
    <t>hour</t>
  </si>
  <si>
    <t>min</t>
  </si>
  <si>
    <t>second</t>
  </si>
  <si>
    <t>Equipment ID</t>
  </si>
  <si>
    <t>Department</t>
  </si>
  <si>
    <t>Equipment Class</t>
  </si>
  <si>
    <t>Equipment Count</t>
  </si>
  <si>
    <t>Status</t>
  </si>
  <si>
    <t>Purchase Date</t>
  </si>
  <si>
    <t>Notes</t>
  </si>
  <si>
    <t>Transportation</t>
  </si>
  <si>
    <t>CUV</t>
  </si>
  <si>
    <t>Active</t>
  </si>
  <si>
    <t>01/15/2018</t>
  </si>
  <si>
    <t>New purchase</t>
  </si>
  <si>
    <t>Truck</t>
  </si>
  <si>
    <t>03/20/2017</t>
  </si>
  <si>
    <t>Routine maintenance</t>
  </si>
  <si>
    <t>Police</t>
  </si>
  <si>
    <t>SUV</t>
  </si>
  <si>
    <t>Inactive</t>
  </si>
  <si>
    <t>11/05/2016</t>
  </si>
  <si>
    <t>Awaiting repair</t>
  </si>
  <si>
    <t>Fire Department</t>
  </si>
  <si>
    <t>08/14/2019</t>
  </si>
  <si>
    <t>Van</t>
  </si>
  <si>
    <t>12/18/2020</t>
  </si>
  <si>
    <t>07/22/2021</t>
  </si>
  <si>
    <t>10/10/2015</t>
  </si>
  <si>
    <t>Public Works</t>
  </si>
  <si>
    <t>02/02/2019</t>
  </si>
  <si>
    <t>New tires installed</t>
  </si>
  <si>
    <t>05/25/2020</t>
  </si>
  <si>
    <t>06/15/2017</t>
  </si>
  <si>
    <t>Purchased for fleet</t>
  </si>
  <si>
    <t>07/30/2016</t>
  </si>
  <si>
    <t>Pending replacement</t>
  </si>
  <si>
    <t>11/12/2019</t>
  </si>
  <si>
    <t>09/22/2020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</si>
</sst>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6" fontId="0" fillId="0" borderId="0" xfId="0" applyNumberFormat="1"/>
    <xf numFmtId="18" fontId="0" fillId="0" borderId="0" xfId="0" applyNumberFormat="1"/>
    <xf numFmtId="2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727E-17D7-42A3-B4D0-0572A3AC5787}">
  <dimension ref="A1:N15"/>
  <sheetViews>
    <sheetView workbookViewId="0">
      <selection activeCell="A13" sqref="A13:A15"/>
    </sheetView>
  </sheetViews>
  <sheetFormatPr defaultRowHeight="14.4" x14ac:dyDescent="0.3"/>
  <cols>
    <col min="4" max="4" width="10.5546875" customWidth="1"/>
    <col min="5" max="5" width="10.33203125" bestFit="1" customWidth="1"/>
    <col min="12" max="12" width="11.6640625" customWidth="1"/>
    <col min="14" max="14" width="10.33203125" bestFit="1" customWidth="1"/>
  </cols>
  <sheetData>
    <row r="1" spans="1:14" ht="15" customHeight="1" x14ac:dyDescent="0.3">
      <c r="A1" t="s">
        <v>29</v>
      </c>
      <c r="B1">
        <v>1</v>
      </c>
      <c r="C1" t="s">
        <v>0</v>
      </c>
      <c r="D1" t="s">
        <v>7</v>
      </c>
      <c r="E1" s="1">
        <v>45585</v>
      </c>
      <c r="F1" s="1" t="s">
        <v>14</v>
      </c>
      <c r="H1" s="1" t="s">
        <v>21</v>
      </c>
      <c r="J1" s="2" t="s">
        <v>21</v>
      </c>
      <c r="L1" t="s">
        <v>30</v>
      </c>
      <c r="N1" s="1">
        <v>45567</v>
      </c>
    </row>
    <row r="2" spans="1:14" x14ac:dyDescent="0.3">
      <c r="A2">
        <f>SUM(A1)</f>
        <v>0</v>
      </c>
      <c r="B2">
        <v>2</v>
      </c>
      <c r="C2" t="s">
        <v>1</v>
      </c>
      <c r="D2" t="s">
        <v>8</v>
      </c>
      <c r="E2" s="1">
        <v>45586</v>
      </c>
      <c r="F2" s="1" t="s">
        <v>15</v>
      </c>
      <c r="H2" s="1" t="s">
        <v>22</v>
      </c>
      <c r="J2" t="s">
        <v>28</v>
      </c>
      <c r="L2" t="s">
        <v>31</v>
      </c>
      <c r="N2" s="1">
        <v>45568</v>
      </c>
    </row>
    <row r="3" spans="1:14" x14ac:dyDescent="0.3">
      <c r="A3">
        <f t="shared" ref="A3:A8" si="0">SUM(A2)</f>
        <v>0</v>
      </c>
      <c r="B3">
        <v>3</v>
      </c>
      <c r="C3" t="s">
        <v>2</v>
      </c>
      <c r="D3" t="s">
        <v>9</v>
      </c>
      <c r="E3" s="1">
        <v>45587</v>
      </c>
      <c r="F3" s="1" t="s">
        <v>16</v>
      </c>
      <c r="H3" s="1" t="s">
        <v>23</v>
      </c>
      <c r="L3" t="s">
        <v>32</v>
      </c>
      <c r="N3" s="1">
        <v>45569</v>
      </c>
    </row>
    <row r="4" spans="1:14" x14ac:dyDescent="0.3">
      <c r="A4">
        <f t="shared" si="0"/>
        <v>0</v>
      </c>
      <c r="B4">
        <v>4</v>
      </c>
      <c r="C4" t="s">
        <v>3</v>
      </c>
      <c r="D4" t="s">
        <v>10</v>
      </c>
      <c r="E4" s="1">
        <v>45588</v>
      </c>
      <c r="F4" s="1" t="s">
        <v>17</v>
      </c>
      <c r="H4" s="1" t="s">
        <v>24</v>
      </c>
      <c r="L4" t="s">
        <v>33</v>
      </c>
      <c r="N4" s="1">
        <v>45570</v>
      </c>
    </row>
    <row r="5" spans="1:14" x14ac:dyDescent="0.3">
      <c r="A5">
        <f t="shared" si="0"/>
        <v>0</v>
      </c>
      <c r="B5">
        <v>5</v>
      </c>
      <c r="C5" t="s">
        <v>4</v>
      </c>
      <c r="D5" t="s">
        <v>11</v>
      </c>
      <c r="E5" s="1">
        <v>45589</v>
      </c>
      <c r="F5" s="1" t="s">
        <v>18</v>
      </c>
      <c r="H5" s="1" t="s">
        <v>25</v>
      </c>
      <c r="L5" t="s">
        <v>34</v>
      </c>
      <c r="N5" s="1">
        <v>45571</v>
      </c>
    </row>
    <row r="6" spans="1:14" x14ac:dyDescent="0.3">
      <c r="A6">
        <f t="shared" si="0"/>
        <v>0</v>
      </c>
      <c r="B6">
        <v>6</v>
      </c>
      <c r="C6" t="s">
        <v>5</v>
      </c>
      <c r="D6" t="s">
        <v>12</v>
      </c>
      <c r="E6" s="1">
        <v>45590</v>
      </c>
      <c r="F6" s="1" t="s">
        <v>19</v>
      </c>
      <c r="H6" s="1" t="s">
        <v>26</v>
      </c>
      <c r="L6" t="s">
        <v>35</v>
      </c>
    </row>
    <row r="7" spans="1:14" x14ac:dyDescent="0.3">
      <c r="A7">
        <f t="shared" si="0"/>
        <v>0</v>
      </c>
      <c r="B7">
        <v>7</v>
      </c>
      <c r="C7" t="s">
        <v>6</v>
      </c>
      <c r="D7" t="s">
        <v>13</v>
      </c>
      <c r="E7" s="1">
        <v>45591</v>
      </c>
      <c r="F7" s="1" t="s">
        <v>20</v>
      </c>
      <c r="H7" s="1" t="s">
        <v>27</v>
      </c>
    </row>
    <row r="8" spans="1:14" x14ac:dyDescent="0.3">
      <c r="A8">
        <f t="shared" si="0"/>
        <v>0</v>
      </c>
      <c r="B8">
        <v>8</v>
      </c>
      <c r="C8" t="s">
        <v>0</v>
      </c>
    </row>
    <row r="11" spans="1:14" x14ac:dyDescent="0.3">
      <c r="A11" t="s">
        <v>36</v>
      </c>
      <c r="C11" t="s">
        <v>41</v>
      </c>
    </row>
    <row r="12" spans="1:14" x14ac:dyDescent="0.3">
      <c r="A12" t="s">
        <v>37</v>
      </c>
      <c r="C12" t="s">
        <v>42</v>
      </c>
    </row>
    <row r="13" spans="1:14" x14ac:dyDescent="0.3">
      <c r="A13" t="s">
        <v>38</v>
      </c>
      <c r="C13" t="s">
        <v>43</v>
      </c>
    </row>
    <row r="14" spans="1:14" x14ac:dyDescent="0.3">
      <c r="A14" t="s">
        <v>39</v>
      </c>
      <c r="C14" t="s">
        <v>43</v>
      </c>
    </row>
    <row r="15" spans="1:14" x14ac:dyDescent="0.3">
      <c r="A15" t="s">
        <v>40</v>
      </c>
      <c r="C15" t="s">
        <v>43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DFCD-C30B-42F5-9CB1-217F572245FD}">
  <dimension ref="A1:N4"/>
  <sheetViews>
    <sheetView workbookViewId="0">
      <selection activeCell="E5" sqref="E5"/>
    </sheetView>
  </sheetViews>
  <sheetFormatPr defaultRowHeight="14.4" x14ac:dyDescent="0.3"/>
  <cols>
    <col min="1" max="1" width="22.21875" customWidth="1"/>
    <col min="2" max="2" width="20.5546875" customWidth="1"/>
    <col min="3" max="4" width="13.5546875" customWidth="1"/>
    <col min="5" max="5" width="15.21875" customWidth="1"/>
  </cols>
  <sheetData>
    <row r="1" spans="1:14" x14ac:dyDescent="0.3">
      <c r="A1" t="s">
        <v>41</v>
      </c>
      <c r="B1" t="s">
        <v>42</v>
      </c>
      <c r="C1" t="s">
        <v>43</v>
      </c>
      <c r="D1" t="s">
        <v>43</v>
      </c>
      <c r="G1" t="s">
        <v>39</v>
      </c>
      <c r="K1" t="s">
        <v>44</v>
      </c>
      <c r="L1" t="s">
        <v>45</v>
      </c>
      <c r="M1" t="s">
        <v>46</v>
      </c>
    </row>
    <row r="2" spans="1:14" x14ac:dyDescent="0.3">
      <c r="A2" s="1">
        <v>41183</v>
      </c>
      <c r="B2" s="1">
        <v>41334</v>
      </c>
      <c r="E2">
        <f>NETWORKDAYS(A2,B2)</f>
        <v>110</v>
      </c>
      <c r="G2" t="s">
        <v>40</v>
      </c>
      <c r="K2" s="3">
        <v>0.5</v>
      </c>
      <c r="L2">
        <v>0</v>
      </c>
      <c r="M2">
        <v>1</v>
      </c>
      <c r="N2" s="3">
        <f>TIME(K2,L2,M2)</f>
        <v>1.1574074074074073E-5</v>
      </c>
    </row>
    <row r="3" spans="1:14" x14ac:dyDescent="0.3">
      <c r="K3" s="4">
        <v>0.66666666666666663</v>
      </c>
      <c r="L3">
        <v>48</v>
      </c>
      <c r="M3">
        <v>12</v>
      </c>
      <c r="N3" s="3">
        <f>TIME(K3,L3,M3)</f>
        <v>3.3472222222222223E-2</v>
      </c>
    </row>
    <row r="4" spans="1:14" x14ac:dyDescent="0.3">
      <c r="A4" s="1">
        <v>41183</v>
      </c>
      <c r="B4" s="1">
        <v>41334</v>
      </c>
      <c r="C4" s="1">
        <v>41235</v>
      </c>
      <c r="D4" s="1">
        <v>41255</v>
      </c>
      <c r="E4">
        <f>NETWORKDAYS(A4,B4,C4:D4)</f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CEAA-854E-40C8-A4AE-E836C7D2EEDD}">
  <dimension ref="A1:G14"/>
  <sheetViews>
    <sheetView tabSelected="1" workbookViewId="0">
      <selection activeCell="G7" sqref="G7"/>
    </sheetView>
  </sheetViews>
  <sheetFormatPr defaultColWidth="10.88671875" defaultRowHeight="14.4" x14ac:dyDescent="0.3"/>
  <sheetData>
    <row r="1" spans="1:7" ht="28.8" x14ac:dyDescent="0.3">
      <c r="A1" s="5" t="s">
        <v>47</v>
      </c>
      <c r="B1" s="5" t="s">
        <v>48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</row>
    <row r="2" spans="1:7" ht="28.8" x14ac:dyDescent="0.3">
      <c r="A2" s="6">
        <v>101</v>
      </c>
      <c r="B2" s="6" t="s">
        <v>54</v>
      </c>
      <c r="C2" s="6" t="s">
        <v>55</v>
      </c>
      <c r="D2" s="6">
        <v>5</v>
      </c>
      <c r="E2" s="6" t="s">
        <v>56</v>
      </c>
      <c r="F2" s="6" t="s">
        <v>57</v>
      </c>
      <c r="G2" s="6" t="s">
        <v>58</v>
      </c>
    </row>
    <row r="3" spans="1:7" ht="43.2" x14ac:dyDescent="0.3">
      <c r="A3" s="6">
        <v>102</v>
      </c>
      <c r="B3" s="6" t="s">
        <v>54</v>
      </c>
      <c r="C3" s="6" t="s">
        <v>59</v>
      </c>
      <c r="D3" s="6">
        <v>8</v>
      </c>
      <c r="E3" s="6" t="s">
        <v>56</v>
      </c>
      <c r="F3" s="6" t="s">
        <v>60</v>
      </c>
      <c r="G3" s="6" t="s">
        <v>61</v>
      </c>
    </row>
    <row r="4" spans="1:7" ht="28.8" x14ac:dyDescent="0.3">
      <c r="A4" s="6">
        <v>103</v>
      </c>
      <c r="B4" s="6" t="s">
        <v>62</v>
      </c>
      <c r="C4" s="6" t="s">
        <v>63</v>
      </c>
      <c r="D4" s="6">
        <v>3</v>
      </c>
      <c r="E4" s="6" t="s">
        <v>64</v>
      </c>
      <c r="F4" s="6" t="s">
        <v>65</v>
      </c>
      <c r="G4" s="6" t="s">
        <v>66</v>
      </c>
    </row>
    <row r="5" spans="1:7" ht="28.8" x14ac:dyDescent="0.3">
      <c r="A5" s="6">
        <v>104</v>
      </c>
      <c r="B5" s="6" t="s">
        <v>67</v>
      </c>
      <c r="C5" s="6" t="s">
        <v>59</v>
      </c>
      <c r="D5" s="6">
        <v>7</v>
      </c>
      <c r="E5" s="6" t="s">
        <v>56</v>
      </c>
      <c r="F5" s="6" t="s">
        <v>68</v>
      </c>
      <c r="G5" s="6"/>
    </row>
    <row r="6" spans="1:7" ht="28.8" x14ac:dyDescent="0.3">
      <c r="A6" s="6">
        <v>105</v>
      </c>
      <c r="B6" s="6" t="s">
        <v>54</v>
      </c>
      <c r="C6" s="6" t="s">
        <v>69</v>
      </c>
      <c r="D6" s="6">
        <v>6</v>
      </c>
      <c r="E6" s="6" t="s">
        <v>56</v>
      </c>
      <c r="F6" s="6" t="s">
        <v>70</v>
      </c>
      <c r="G6" s="6"/>
    </row>
    <row r="7" spans="1:7" ht="28.8" x14ac:dyDescent="0.3">
      <c r="A7" s="6">
        <v>106</v>
      </c>
      <c r="B7" s="6" t="s">
        <v>62</v>
      </c>
      <c r="C7" s="6" t="s">
        <v>55</v>
      </c>
      <c r="D7" s="6">
        <v>4</v>
      </c>
      <c r="E7" s="6" t="s">
        <v>56</v>
      </c>
      <c r="F7" s="6" t="s">
        <v>71</v>
      </c>
      <c r="G7" s="6"/>
    </row>
    <row r="8" spans="1:7" ht="28.8" x14ac:dyDescent="0.3">
      <c r="A8" s="6">
        <v>107</v>
      </c>
      <c r="B8" s="6" t="s">
        <v>67</v>
      </c>
      <c r="C8" s="6" t="s">
        <v>63</v>
      </c>
      <c r="D8" s="6">
        <v>2</v>
      </c>
      <c r="E8" s="6" t="s">
        <v>56</v>
      </c>
      <c r="F8" s="6" t="s">
        <v>72</v>
      </c>
      <c r="G8" s="6"/>
    </row>
    <row r="9" spans="1:7" ht="28.8" x14ac:dyDescent="0.3">
      <c r="A9" s="6">
        <v>108</v>
      </c>
      <c r="B9" s="6" t="s">
        <v>73</v>
      </c>
      <c r="C9" s="6" t="s">
        <v>55</v>
      </c>
      <c r="D9" s="6">
        <v>9</v>
      </c>
      <c r="E9" s="6" t="s">
        <v>56</v>
      </c>
      <c r="F9" s="6" t="s">
        <v>74</v>
      </c>
      <c r="G9" s="6" t="s">
        <v>75</v>
      </c>
    </row>
    <row r="10" spans="1:7" ht="28.8" x14ac:dyDescent="0.3">
      <c r="A10" s="6">
        <v>109</v>
      </c>
      <c r="B10" s="6" t="s">
        <v>73</v>
      </c>
      <c r="C10" s="6" t="s">
        <v>59</v>
      </c>
      <c r="D10" s="6">
        <v>12</v>
      </c>
      <c r="E10" s="6" t="s">
        <v>56</v>
      </c>
      <c r="F10" s="6" t="s">
        <v>76</v>
      </c>
      <c r="G10" s="6"/>
    </row>
    <row r="11" spans="1:7" ht="28.8" x14ac:dyDescent="0.3">
      <c r="A11" s="6">
        <v>110</v>
      </c>
      <c r="B11" s="6" t="s">
        <v>54</v>
      </c>
      <c r="C11" s="6" t="s">
        <v>59</v>
      </c>
      <c r="D11" s="6">
        <v>8</v>
      </c>
      <c r="E11" s="6" t="s">
        <v>56</v>
      </c>
      <c r="F11" s="6" t="s">
        <v>77</v>
      </c>
      <c r="G11" s="6" t="s">
        <v>78</v>
      </c>
    </row>
    <row r="12" spans="1:7" ht="43.2" x14ac:dyDescent="0.3">
      <c r="A12" s="6">
        <v>111</v>
      </c>
      <c r="B12" s="6" t="s">
        <v>67</v>
      </c>
      <c r="C12" s="6" t="s">
        <v>69</v>
      </c>
      <c r="D12" s="6">
        <v>4</v>
      </c>
      <c r="E12" s="6" t="s">
        <v>64</v>
      </c>
      <c r="F12" s="6" t="s">
        <v>79</v>
      </c>
      <c r="G12" s="6" t="s">
        <v>80</v>
      </c>
    </row>
    <row r="13" spans="1:7" ht="28.8" x14ac:dyDescent="0.3">
      <c r="A13" s="6">
        <v>112</v>
      </c>
      <c r="B13" s="6" t="s">
        <v>73</v>
      </c>
      <c r="C13" s="6" t="s">
        <v>63</v>
      </c>
      <c r="D13" s="6">
        <v>7</v>
      </c>
      <c r="E13" s="6" t="s">
        <v>56</v>
      </c>
      <c r="F13" s="6" t="s">
        <v>81</v>
      </c>
      <c r="G13" s="6"/>
    </row>
    <row r="14" spans="1:7" ht="28.8" x14ac:dyDescent="0.3">
      <c r="A14" s="6">
        <v>113</v>
      </c>
      <c r="B14" s="6" t="s">
        <v>54</v>
      </c>
      <c r="C14" s="6" t="s">
        <v>55</v>
      </c>
      <c r="D14" s="6">
        <v>10</v>
      </c>
      <c r="E14" s="6" t="s">
        <v>56</v>
      </c>
      <c r="F14" s="6" t="s">
        <v>82</v>
      </c>
      <c r="G14" s="6"/>
    </row>
  </sheetData>
  <autoFilter ref="A1:G14" xr:uid="{9325CEAA-854E-40C8-A4AE-E836C7D2EE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Himani Asodariya</dc:creator>
  <cp:lastModifiedBy>Himani Asodariya</cp:lastModifiedBy>
  <dcterms:created xsi:type="dcterms:W3CDTF">2024-09-16T14:11:43Z</dcterms:created>
  <dcterms:modified xsi:type="dcterms:W3CDTF">2024-09-16T17:46:01Z</dcterms:modified>
</cp:coreProperties>
</file>